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7144862-0CA2-492D-BA21-F5F0CE1C31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 (2)" sheetId="5" r:id="rId1"/>
    <sheet name="Notes - Text Functions" sheetId="1" r:id="rId2"/>
    <sheet name="Examples - Text Functions" sheetId="2" r:id="rId3"/>
    <sheet name="Tasks - Text Functions" sheetId="3" r:id="rId4"/>
    <sheet name="Sheet1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qV60cesJ9nxPIAvI88s+5W0IBGqeg+nNZlNMvdFT0is="/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H12" i="3"/>
  <c r="H10" i="3"/>
  <c r="H11" i="3"/>
  <c r="H9" i="3"/>
  <c r="H8" i="3"/>
  <c r="H7" i="3"/>
  <c r="H6" i="3"/>
  <c r="H5" i="3"/>
  <c r="H4" i="3"/>
  <c r="H3" i="3"/>
  <c r="G3" i="2"/>
</calcChain>
</file>

<file path=xl/sharedStrings.xml><?xml version="1.0" encoding="utf-8"?>
<sst xmlns="http://schemas.openxmlformats.org/spreadsheetml/2006/main" count="442" uniqueCount="288">
  <si>
    <t>TEXT FUNCTIONS — NOTES</t>
  </si>
  <si>
    <t>Functions covered:  LEFT | RIGHT | MID | UPPER | LOWER | PROPER | TRIM | CONCAT</t>
  </si>
  <si>
    <t>Function</t>
  </si>
  <si>
    <t>What It Does</t>
  </si>
  <si>
    <t>Syntax</t>
  </si>
  <si>
    <t>Key Point</t>
  </si>
  <si>
    <t>Example Use</t>
  </si>
  <si>
    <t>LEFT</t>
  </si>
  <si>
    <t>Extracts characters from the START (left side) of a text.</t>
  </si>
  <si>
    <t>=LEFT(text, num_chars)</t>
  </si>
  <si>
    <t>num_chars = how many characters to take from the left.</t>
  </si>
  <si>
    <t>Extract area code from a phone number</t>
  </si>
  <si>
    <t>RIGHT</t>
  </si>
  <si>
    <t>Extracts characters from the END (right side) of a text.</t>
  </si>
  <si>
    <t>=RIGHT(text, num_chars)</t>
  </si>
  <si>
    <t>num_chars = how many characters to take from the right.</t>
  </si>
  <si>
    <t>Extract last 4 digits of a card number</t>
  </si>
  <si>
    <t>MID</t>
  </si>
  <si>
    <t>Extracts characters from the MIDDLE of a text.</t>
  </si>
  <si>
    <t>=MID(text, start_num, num_chars)</t>
  </si>
  <si>
    <t>start_num = position to begin from.
Counting starts at 1, not 0.</t>
  </si>
  <si>
    <t>Extract month from a date written as text</t>
  </si>
  <si>
    <t>UPPER</t>
  </si>
  <si>
    <t>Converts all letters in text to UPPERCASE.</t>
  </si>
  <si>
    <t>=UPPER(text)</t>
  </si>
  <si>
    <t>Numbers and symbols are not affected.</t>
  </si>
  <si>
    <t>Convert product codes to uppercase</t>
  </si>
  <si>
    <t>LOWER</t>
  </si>
  <si>
    <t>Converts all letters in text to lowercase.</t>
  </si>
  <si>
    <t>=LOWER(text)</t>
  </si>
  <si>
    <t>Standardize email addresses to lowercase</t>
  </si>
  <si>
    <t>PROPER</t>
  </si>
  <si>
    <t>Capitalizes the first letter of each word.</t>
  </si>
  <si>
    <t>=PROPER(text)</t>
  </si>
  <si>
    <t>Useful for fixing names typed in all caps or all lowercase.</t>
  </si>
  <si>
    <t>Format customer names properly</t>
  </si>
  <si>
    <t>TRIM</t>
  </si>
  <si>
    <t>Removes extra spaces from text, keeping single spaces between words.</t>
  </si>
  <si>
    <t>=TRIM(text)</t>
  </si>
  <si>
    <t>Removes leading, trailing, and extra inner spaces.
Does NOT remove single spaces between words.</t>
  </si>
  <si>
    <t>Clean messy data copied from other sources</t>
  </si>
  <si>
    <t>CONCATENATE</t>
  </si>
  <si>
    <t>Joins two or more text values into one.</t>
  </si>
  <si>
    <t>=CONCATENATE(text1, text2, ...)</t>
  </si>
  <si>
    <t>Use " " (space) or "-" as a separate argument to add spacing.
CONCAT is the newer version with the same purpose.</t>
  </si>
  <si>
    <t>Combine First Name and Last Name into Full Name</t>
  </si>
  <si>
    <t>Remember: Counting positions in MID always starts at 1, not 0 — the very first character is position 1</t>
  </si>
  <si>
    <t xml:space="preserve">TEXT FUNCTIONS — EXAMPLES   </t>
  </si>
  <si>
    <t>Formulas applied on the data above (data is in rows 4 to 8)</t>
  </si>
  <si>
    <t>Scenario: Employee records exported from an HR system (messy formatting)</t>
  </si>
  <si>
    <t xml:space="preserve">Formula </t>
  </si>
  <si>
    <t>Result</t>
  </si>
  <si>
    <t>What it does</t>
  </si>
  <si>
    <t>Emp Code</t>
  </si>
  <si>
    <t>Full Name (raw)</t>
  </si>
  <si>
    <t>Email (raw)</t>
  </si>
  <si>
    <t>Department</t>
  </si>
  <si>
    <t>Extracts 'EMP' from the employee code</t>
  </si>
  <si>
    <t>EMP-2024-101</t>
  </si>
  <si>
    <t xml:space="preserve">  rohan sharma  </t>
  </si>
  <si>
    <t>ROHAN.SHARMA@MAIL.COM</t>
  </si>
  <si>
    <t>Sales</t>
  </si>
  <si>
    <t>=RIGHT(A4,3)</t>
  </si>
  <si>
    <t>Extracts the last 3 digits of the employee code</t>
  </si>
  <si>
    <t>EMP-2024-102</t>
  </si>
  <si>
    <t>PRIYA   VERMA</t>
  </si>
  <si>
    <t>priya.verma@mail.com</t>
  </si>
  <si>
    <t>HR</t>
  </si>
  <si>
    <t>=MID(A4,5,4)</t>
  </si>
  <si>
    <t>Extracts the year (2024) from the employee code</t>
  </si>
  <si>
    <t>EMP-2024-103</t>
  </si>
  <si>
    <t>amit Kumar</t>
  </si>
  <si>
    <t>Amit.Kumar@Mail.Com</t>
  </si>
  <si>
    <t>IT</t>
  </si>
  <si>
    <t>=UPPER(D4)</t>
  </si>
  <si>
    <t>Converts the department name to UPPERCASE</t>
  </si>
  <si>
    <t>EMP-2024-104</t>
  </si>
  <si>
    <t xml:space="preserve">  Sneha Joshi</t>
  </si>
  <si>
    <t>SNEHA.JOSHI@MAIL.COM</t>
  </si>
  <si>
    <t>Finance</t>
  </si>
  <si>
    <t>=LOWER(C4)</t>
  </si>
  <si>
    <t>Converts the email to lowercase (standard format)</t>
  </si>
  <si>
    <t>EMP-2024-105</t>
  </si>
  <si>
    <t>vikram  reddy</t>
  </si>
  <si>
    <t>vikram.reddy@mail.com</t>
  </si>
  <si>
    <t>=PROPER(TRIM(B4))</t>
  </si>
  <si>
    <t>Fixes the messy name into proper case</t>
  </si>
  <si>
    <t>=TRIM(B4)</t>
  </si>
  <si>
    <t>Removes extra spaces from the raw name</t>
  </si>
  <si>
    <t>=CONCATENATE(LEFT(A4,3)," - ",D4)</t>
  </si>
  <si>
    <t>Joins code prefix and department together</t>
  </si>
  <si>
    <t>Column 2 = formula text to read  |  Column 3 = live calculated result  |  Try changing the names/codes above to see results update</t>
  </si>
  <si>
    <t>TEXT FUNCTIONS — STUDENT TASKS</t>
  </si>
  <si>
    <t>Write your formulas in the yellow cells below</t>
  </si>
  <si>
    <t>Scenario: Customer records from an online bookstore (raw export, needs cleaning)</t>
  </si>
  <si>
    <t>Task</t>
  </si>
  <si>
    <t>What to Find</t>
  </si>
  <si>
    <t>Answer</t>
  </si>
  <si>
    <t>Order ID</t>
  </si>
  <si>
    <t>Customer Name (raw)</t>
  </si>
  <si>
    <t>City</t>
  </si>
  <si>
    <t>Task 1</t>
  </si>
  <si>
    <t>Extract "BK" (first 2 characters) from the Order ID of row 1</t>
  </si>
  <si>
    <t>BK-2024-501</t>
  </si>
  <si>
    <t xml:space="preserve">  ananya singh  </t>
  </si>
  <si>
    <t>ANANYA.SINGH@SHOP.COM</t>
  </si>
  <si>
    <t>Pune</t>
  </si>
  <si>
    <t>Task 2</t>
  </si>
  <si>
    <t>Extract the year from the Order ID of row 1</t>
  </si>
  <si>
    <t>BK-2024-502</t>
  </si>
  <si>
    <t>RAVI   TEJA</t>
  </si>
  <si>
    <t>ravi.teja@shop.com</t>
  </si>
  <si>
    <t>Hyderabad</t>
  </si>
  <si>
    <t>Task 3</t>
  </si>
  <si>
    <t>Extract the order number from the Order ID of row 2</t>
  </si>
  <si>
    <t>BK-2024-503</t>
  </si>
  <si>
    <t>meera nair</t>
  </si>
  <si>
    <t>Meera.Nair@Shop.Com</t>
  </si>
  <si>
    <t>Kochi</t>
  </si>
  <si>
    <t>Task 4</t>
  </si>
  <si>
    <t>Convert the City of row 3 to UPPERCASE</t>
  </si>
  <si>
    <t>BK-2024-504</t>
  </si>
  <si>
    <t xml:space="preserve">  Kabir Khan</t>
  </si>
  <si>
    <t>KABIR.KHAN@SHOP.COM</t>
  </si>
  <si>
    <t>Lucknow</t>
  </si>
  <si>
    <t>Task 5</t>
  </si>
  <si>
    <t>Convert the Email of row 1 to lowercase</t>
  </si>
  <si>
    <t>BK-2024-505</t>
  </si>
  <si>
    <t>Tanya  Malhotra</t>
  </si>
  <si>
    <t>tanya.malhotra@shop.com</t>
  </si>
  <si>
    <t>Chandigarh</t>
  </si>
  <si>
    <t>Task 6</t>
  </si>
  <si>
    <t>Fix the Customer Name of row 4 into Proper Case</t>
  </si>
  <si>
    <t>BK-2024-506</t>
  </si>
  <si>
    <t>deepak  rao</t>
  </si>
  <si>
    <t>DEEPAK.RAO@SHOP.COM</t>
  </si>
  <si>
    <t>Task 7</t>
  </si>
  <si>
    <t>Remove the extra spaces from the Customer Name of row 5</t>
  </si>
  <si>
    <t>Task 8</t>
  </si>
  <si>
    <t>Join the City and Order ID of row 6 with a space in between</t>
  </si>
  <si>
    <t>Task 9</t>
  </si>
  <si>
    <t>Clean and Proper-case the Customer Name of row 6 in one formula</t>
  </si>
  <si>
    <t>Task 10</t>
  </si>
  <si>
    <t>Extract the middle 4 digits (the year) from the Order ID of row 4</t>
  </si>
  <si>
    <t>Customer ID</t>
  </si>
  <si>
    <t>First Name</t>
  </si>
  <si>
    <t>Last Name</t>
  </si>
  <si>
    <t>Email Address</t>
  </si>
  <si>
    <t>State</t>
  </si>
  <si>
    <t>Product Code</t>
  </si>
  <si>
    <t>C1001</t>
  </si>
  <si>
    <t>john</t>
  </si>
  <si>
    <t>smith</t>
  </si>
  <si>
    <t>john.smith@gmail.com</t>
  </si>
  <si>
    <t>kochi</t>
  </si>
  <si>
    <t>kerala</t>
  </si>
  <si>
    <t>LAP-101-001</t>
  </si>
  <si>
    <t>C1002</t>
  </si>
  <si>
    <t>EMMA</t>
  </si>
  <si>
    <t>WILSON</t>
  </si>
  <si>
    <t>emmawilson@yahoo.com</t>
  </si>
  <si>
    <t>chennai</t>
  </si>
  <si>
    <t>TN</t>
  </si>
  <si>
    <t>MOB-205-002</t>
  </si>
  <si>
    <t>C1003</t>
  </si>
  <si>
    <t>Arjun</t>
  </si>
  <si>
    <t>Nair</t>
  </si>
  <si>
    <t>arjun.nair@outlook.com</t>
  </si>
  <si>
    <t>bengaluru</t>
  </si>
  <si>
    <t>karnataka</t>
  </si>
  <si>
    <t>ACC-110-003</t>
  </si>
  <si>
    <t>priya</t>
  </si>
  <si>
    <t>menon</t>
  </si>
  <si>
    <t>priya.menon@gmail.com</t>
  </si>
  <si>
    <t>trivandrum</t>
  </si>
  <si>
    <t>TAB-115-004</t>
  </si>
  <si>
    <t>RAHUL</t>
  </si>
  <si>
    <t xml:space="preserve">  SHARMA</t>
  </si>
  <si>
    <t>rahul.sharma@gmail.com</t>
  </si>
  <si>
    <t>mumbai</t>
  </si>
  <si>
    <t>maharashtra</t>
  </si>
  <si>
    <t>CAM-450-005</t>
  </si>
  <si>
    <t>Sneha</t>
  </si>
  <si>
    <t>Joseph</t>
  </si>
  <si>
    <t>snehaj@gmail.com</t>
  </si>
  <si>
    <t>hyderabad</t>
  </si>
  <si>
    <t>telangana</t>
  </si>
  <si>
    <t>SPK-220-006</t>
  </si>
  <si>
    <t>david</t>
  </si>
  <si>
    <t>brown</t>
  </si>
  <si>
    <t>david.brown@hotmail.com</t>
  </si>
  <si>
    <t>pune</t>
  </si>
  <si>
    <t>KEY-301-007</t>
  </si>
  <si>
    <t>ANJALI</t>
  </si>
  <si>
    <t>DAS</t>
  </si>
  <si>
    <t>anjali.das@yahoo.com</t>
  </si>
  <si>
    <t>kolkata</t>
  </si>
  <si>
    <t>west bengal</t>
  </si>
  <si>
    <t>MON-240-008</t>
  </si>
  <si>
    <t>Mohammed</t>
  </si>
  <si>
    <t>Ali</t>
  </si>
  <si>
    <t>mohd.ali@gmail.com</t>
  </si>
  <si>
    <t>delhi</t>
  </si>
  <si>
    <t>HDD-500-009</t>
  </si>
  <si>
    <t>neha</t>
  </si>
  <si>
    <t>patel</t>
  </si>
  <si>
    <t>neha_patel@outlook.com</t>
  </si>
  <si>
    <t>ahmedabad</t>
  </si>
  <si>
    <t>gujarat</t>
  </si>
  <si>
    <t>SSD-512-010</t>
  </si>
  <si>
    <t>ROHAN</t>
  </si>
  <si>
    <t xml:space="preserve">       KUMAR</t>
  </si>
  <si>
    <t>rohankumar@gmail.com</t>
  </si>
  <si>
    <t>lucknow</t>
  </si>
  <si>
    <t>uttar pradesh</t>
  </si>
  <si>
    <t>MOU-201-011</t>
  </si>
  <si>
    <t>Fatima</t>
  </si>
  <si>
    <t>Khan</t>
  </si>
  <si>
    <t>fatima.khan@yahoo.com</t>
  </si>
  <si>
    <t>jaipur</t>
  </si>
  <si>
    <t>rajasthan</t>
  </si>
  <si>
    <t>CHG-065-012</t>
  </si>
  <si>
    <t>vivek</t>
  </si>
  <si>
    <t>r</t>
  </si>
  <si>
    <t>vivek.r@gmail.com</t>
  </si>
  <si>
    <t>mysuru</t>
  </si>
  <si>
    <t>CAB-108-013</t>
  </si>
  <si>
    <t>ANTHONY</t>
  </si>
  <si>
    <t>THOMAS</t>
  </si>
  <si>
    <t>anthony.t@gmail.com</t>
  </si>
  <si>
    <t>kozhikode</t>
  </si>
  <si>
    <t>BAG-501-014</t>
  </si>
  <si>
    <t>Meera</t>
  </si>
  <si>
    <t>Iyer</t>
  </si>
  <si>
    <t>meera.iyer@outlook.com</t>
  </si>
  <si>
    <t>coimbatore</t>
  </si>
  <si>
    <t>EAR-209-015</t>
  </si>
  <si>
    <t>sanjay</t>
  </si>
  <si>
    <t>gupta</t>
  </si>
  <si>
    <t>sanjay.gupta@gmail.com</t>
  </si>
  <si>
    <t>surat</t>
  </si>
  <si>
    <t>MIC-310-016</t>
  </si>
  <si>
    <t>POOJA</t>
  </si>
  <si>
    <t>SINGH</t>
  </si>
  <si>
    <t>pooja.singh@yahoo.com</t>
  </si>
  <si>
    <t>bhopal</t>
  </si>
  <si>
    <t>madhya pradesh</t>
  </si>
  <si>
    <t>HUB-404-017</t>
  </si>
  <si>
    <t>Kevin</t>
  </si>
  <si>
    <t>George</t>
  </si>
  <si>
    <t>kevin.george@gmail.com</t>
  </si>
  <si>
    <t>goa</t>
  </si>
  <si>
    <t>WBC-108-018</t>
  </si>
  <si>
    <t>lakshmi</t>
  </si>
  <si>
    <t>p</t>
  </si>
  <si>
    <t>lakshmi.p@gmail.com</t>
  </si>
  <si>
    <t>madurai</t>
  </si>
  <si>
    <t>CPU-701-019</t>
  </si>
  <si>
    <t>NIKHIL</t>
  </si>
  <si>
    <t>VERMA</t>
  </si>
  <si>
    <t>nikhil.verma@hotmail.com</t>
  </si>
  <si>
    <t>patna</t>
  </si>
  <si>
    <t>bihar</t>
  </si>
  <si>
    <t>RAM-016-020</t>
  </si>
  <si>
    <t>EMP</t>
  </si>
  <si>
    <t>AMIT KUMAR</t>
  </si>
  <si>
    <t>priya verma</t>
  </si>
  <si>
    <t>Rohan Sharma</t>
  </si>
  <si>
    <t>Sneha Joshi</t>
  </si>
  <si>
    <t>vikram reddysales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</si>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</sst>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1F3864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9"/>
      <color rgb="FF1F497D"/>
      <name val="Courier New"/>
    </font>
    <font>
      <i/>
      <sz val="9"/>
      <color rgb="FF000000"/>
      <name val="Arial"/>
    </font>
    <font>
      <b/>
      <sz val="10"/>
      <color rgb="FF7B0000"/>
      <name val="Arial"/>
    </font>
    <font>
      <b/>
      <sz val="10"/>
      <color rgb="FF375623"/>
      <name val="Arial"/>
    </font>
    <font>
      <sz val="11"/>
      <color theme="1"/>
      <name val="Calibri"/>
    </font>
    <font>
      <b/>
      <sz val="10"/>
      <color rgb="FF000000"/>
      <name val="Arial"/>
    </font>
    <font>
      <b/>
      <sz val="11"/>
      <color theme="1"/>
      <name val="Calibri"/>
    </font>
    <font>
      <u/>
      <sz val="11"/>
      <color theme="10"/>
      <name val="Calibri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0" fillId="0" borderId="0" xfId="0" applyFont="1"/>
    <xf numFmtId="0" fontId="11" fillId="6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5" xfId="0" applyFont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AAC7FB-A985-468A-941C-1C967ED9C51F}" name="Table3" displayName="Table3" ref="A1:H21" totalsRowShown="0" headerRowDxfId="1" dataDxfId="2">
  <autoFilter ref="A1:H21" xr:uid="{68AAC7FB-A985-468A-941C-1C967ED9C51F}"/>
  <tableColumns count="8">
    <tableColumn id="1" xr3:uid="{90D383BE-10F7-4A32-BBAD-5A3241D7F085}" name="Customer ID" dataDxfId="9"/>
    <tableColumn id="2" xr3:uid="{4C9D99E7-B248-4A56-BA04-F66F11F26397}" name="First Name" dataDxfId="8"/>
    <tableColumn id="3" xr3:uid="{7587D7D0-38E9-4834-99EE-B383BFA7E2D4}" name="Last Name" dataDxfId="7"/>
    <tableColumn id="8" xr3:uid="{6FEB7E5F-4C25-42D7-A891-ACE817F865E6}" name="Full Name" dataDxfId="0">
      <calculatedColumnFormula>TRIM(PROPER(CONCATENATE(Table3[[#This Row],[First Name]],"  ",Table3[[#This Row],[Last Name]])))</calculatedColumnFormula>
    </tableColumn>
    <tableColumn id="4" xr3:uid="{FE5A5B3D-9F89-4AA3-B95F-6B41283439E2}" name="Email Address" dataDxfId="6"/>
    <tableColumn id="5" xr3:uid="{734AB633-C2D8-481D-9F3C-ABBCA4F33942}" name="City" dataDxfId="5"/>
    <tableColumn id="6" xr3:uid="{1EB27181-7F9C-45F1-B49C-1CCD5AD3073E}" name="State" dataDxfId="4"/>
    <tableColumn id="7" xr3:uid="{26CBFF78-E659-4659-AD40-48D6C4581376}" name="Product Cod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jali.das@yahoo.com" TargetMode="External"/><Relationship Id="rId13" Type="http://schemas.openxmlformats.org/officeDocument/2006/relationships/hyperlink" Target="mailto:vivek.r@gmail.com" TargetMode="External"/><Relationship Id="rId18" Type="http://schemas.openxmlformats.org/officeDocument/2006/relationships/hyperlink" Target="mailto:kevin.george@gmail.com" TargetMode="External"/><Relationship Id="rId3" Type="http://schemas.openxmlformats.org/officeDocument/2006/relationships/hyperlink" Target="mailto:arjun.nair@outlook.com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david.brown@hotmail.com" TargetMode="External"/><Relationship Id="rId12" Type="http://schemas.openxmlformats.org/officeDocument/2006/relationships/hyperlink" Target="mailto:fatima.khan@yahoo.com" TargetMode="External"/><Relationship Id="rId17" Type="http://schemas.openxmlformats.org/officeDocument/2006/relationships/hyperlink" Target="mailto:pooja.singh@yahoo.com" TargetMode="External"/><Relationship Id="rId2" Type="http://schemas.openxmlformats.org/officeDocument/2006/relationships/hyperlink" Target="mailto:emmawilson@yahoo.com" TargetMode="External"/><Relationship Id="rId16" Type="http://schemas.openxmlformats.org/officeDocument/2006/relationships/hyperlink" Target="mailto:sanjay.gupta@gmail.com" TargetMode="External"/><Relationship Id="rId20" Type="http://schemas.openxmlformats.org/officeDocument/2006/relationships/hyperlink" Target="mailto:nikhil.verma@hotmail.com" TargetMode="External"/><Relationship Id="rId1" Type="http://schemas.openxmlformats.org/officeDocument/2006/relationships/hyperlink" Target="mailto:john.smith@gmail.com" TargetMode="External"/><Relationship Id="rId6" Type="http://schemas.openxmlformats.org/officeDocument/2006/relationships/hyperlink" Target="mailto:snehaj@gmail.com" TargetMode="External"/><Relationship Id="rId11" Type="http://schemas.openxmlformats.org/officeDocument/2006/relationships/hyperlink" Target="mailto:rohankumar@gmail.com" TargetMode="External"/><Relationship Id="rId5" Type="http://schemas.openxmlformats.org/officeDocument/2006/relationships/hyperlink" Target="mailto:rahul.sharma@gmail.com" TargetMode="External"/><Relationship Id="rId15" Type="http://schemas.openxmlformats.org/officeDocument/2006/relationships/hyperlink" Target="mailto:meera.iyer@outlook.com" TargetMode="External"/><Relationship Id="rId10" Type="http://schemas.openxmlformats.org/officeDocument/2006/relationships/hyperlink" Target="mailto:neha_patel@outlook.com" TargetMode="External"/><Relationship Id="rId19" Type="http://schemas.openxmlformats.org/officeDocument/2006/relationships/hyperlink" Target="mailto:lakshmi.p@gmail.com" TargetMode="External"/><Relationship Id="rId4" Type="http://schemas.openxmlformats.org/officeDocument/2006/relationships/hyperlink" Target="mailto:priya.menon@gmail.com" TargetMode="External"/><Relationship Id="rId9" Type="http://schemas.openxmlformats.org/officeDocument/2006/relationships/hyperlink" Target="mailto:mohd.ali@gmail.com" TargetMode="External"/><Relationship Id="rId14" Type="http://schemas.openxmlformats.org/officeDocument/2006/relationships/hyperlink" Target="mailto:anthony.t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njali.das@yahoo.com" TargetMode="External"/><Relationship Id="rId13" Type="http://schemas.openxmlformats.org/officeDocument/2006/relationships/hyperlink" Target="mailto:vivek.r@gmail.com" TargetMode="External"/><Relationship Id="rId18" Type="http://schemas.openxmlformats.org/officeDocument/2006/relationships/hyperlink" Target="mailto:kevin.george@gmail.com" TargetMode="External"/><Relationship Id="rId3" Type="http://schemas.openxmlformats.org/officeDocument/2006/relationships/hyperlink" Target="mailto:arjun.nair@outlook.com" TargetMode="External"/><Relationship Id="rId7" Type="http://schemas.openxmlformats.org/officeDocument/2006/relationships/hyperlink" Target="mailto:david.brown@hotmail.com" TargetMode="External"/><Relationship Id="rId12" Type="http://schemas.openxmlformats.org/officeDocument/2006/relationships/hyperlink" Target="mailto:fatima.khan@yahoo.com" TargetMode="External"/><Relationship Id="rId17" Type="http://schemas.openxmlformats.org/officeDocument/2006/relationships/hyperlink" Target="mailto:pooja.singh@yahoo.com" TargetMode="External"/><Relationship Id="rId2" Type="http://schemas.openxmlformats.org/officeDocument/2006/relationships/hyperlink" Target="mailto:emmawilson@yahoo.com" TargetMode="External"/><Relationship Id="rId16" Type="http://schemas.openxmlformats.org/officeDocument/2006/relationships/hyperlink" Target="mailto:sanjay.gupta@gmail.com" TargetMode="External"/><Relationship Id="rId20" Type="http://schemas.openxmlformats.org/officeDocument/2006/relationships/hyperlink" Target="mailto:nikhil.verma@hotmail.com" TargetMode="External"/><Relationship Id="rId1" Type="http://schemas.openxmlformats.org/officeDocument/2006/relationships/hyperlink" Target="mailto:john.smith@gmail.com" TargetMode="External"/><Relationship Id="rId6" Type="http://schemas.openxmlformats.org/officeDocument/2006/relationships/hyperlink" Target="mailto:snehaj@gmail.com" TargetMode="External"/><Relationship Id="rId11" Type="http://schemas.openxmlformats.org/officeDocument/2006/relationships/hyperlink" Target="mailto:rohankumar@gmail.com" TargetMode="External"/><Relationship Id="rId5" Type="http://schemas.openxmlformats.org/officeDocument/2006/relationships/hyperlink" Target="mailto:rahul.sharma@gmail.com" TargetMode="External"/><Relationship Id="rId15" Type="http://schemas.openxmlformats.org/officeDocument/2006/relationships/hyperlink" Target="mailto:meera.iyer@outlook.com" TargetMode="External"/><Relationship Id="rId10" Type="http://schemas.openxmlformats.org/officeDocument/2006/relationships/hyperlink" Target="mailto:neha_patel@outlook.com" TargetMode="External"/><Relationship Id="rId19" Type="http://schemas.openxmlformats.org/officeDocument/2006/relationships/hyperlink" Target="mailto:lakshmi.p@gmail.com" TargetMode="External"/><Relationship Id="rId4" Type="http://schemas.openxmlformats.org/officeDocument/2006/relationships/hyperlink" Target="mailto:priya.menon@gmail.com" TargetMode="External"/><Relationship Id="rId9" Type="http://schemas.openxmlformats.org/officeDocument/2006/relationships/hyperlink" Target="mailto:mohd.ali@gmail.com" TargetMode="External"/><Relationship Id="rId14" Type="http://schemas.openxmlformats.org/officeDocument/2006/relationships/hyperlink" Target="mailto:anthony.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5A08-EEEE-4A22-BD81-0DA934EEF764}">
  <dimension ref="A1:H1000"/>
  <sheetViews>
    <sheetView tabSelected="1" workbookViewId="0">
      <selection activeCell="D2" sqref="D2"/>
    </sheetView>
  </sheetViews>
  <sheetFormatPr defaultColWidth="14.453125" defaultRowHeight="15" customHeight="1"/>
  <cols>
    <col min="1" max="1" width="13.26953125" customWidth="1"/>
    <col min="2" max="2" width="11.81640625" customWidth="1"/>
    <col min="3" max="3" width="11.54296875" customWidth="1"/>
    <col min="4" max="4" width="21.26953125" customWidth="1"/>
    <col min="5" max="5" width="14.54296875" customWidth="1"/>
    <col min="6" max="7" width="8.7265625" customWidth="1"/>
    <col min="8" max="8" width="14.1796875" customWidth="1"/>
    <col min="9" max="27" width="8.7265625" customWidth="1"/>
  </cols>
  <sheetData>
    <row r="1" spans="1:8" ht="14.25" customHeight="1">
      <c r="A1" s="25" t="s">
        <v>144</v>
      </c>
      <c r="B1" s="25" t="s">
        <v>145</v>
      </c>
      <c r="C1" s="25" t="s">
        <v>146</v>
      </c>
      <c r="D1" s="25" t="s">
        <v>287</v>
      </c>
      <c r="E1" s="25" t="s">
        <v>147</v>
      </c>
      <c r="F1" s="25" t="s">
        <v>100</v>
      </c>
      <c r="G1" s="25" t="s">
        <v>148</v>
      </c>
      <c r="H1" s="25" t="s">
        <v>149</v>
      </c>
    </row>
    <row r="2" spans="1:8" ht="14.25" customHeight="1">
      <c r="A2" s="26" t="s">
        <v>150</v>
      </c>
      <c r="B2" s="26" t="s">
        <v>151</v>
      </c>
      <c r="C2" s="26" t="s">
        <v>152</v>
      </c>
      <c r="D2" s="26" t="str">
        <f>TRIM(PROPER(CONCATENATE(Table3[[#This Row],[First Name]],"  ",Table3[[#This Row],[Last Name]])))</f>
        <v>John Smith</v>
      </c>
      <c r="E2" s="27" t="s">
        <v>153</v>
      </c>
      <c r="F2" s="26" t="s">
        <v>154</v>
      </c>
      <c r="G2" s="26" t="s">
        <v>155</v>
      </c>
      <c r="H2" s="26" t="s">
        <v>156</v>
      </c>
    </row>
    <row r="3" spans="1:8" ht="14.25" customHeight="1">
      <c r="A3" s="26" t="s">
        <v>157</v>
      </c>
      <c r="B3" s="26" t="s">
        <v>158</v>
      </c>
      <c r="C3" s="26" t="s">
        <v>159</v>
      </c>
      <c r="D3" s="26" t="str">
        <f>TRIM(PROPER(CONCATENATE(Table3[[#This Row],[First Name]],"  ",Table3[[#This Row],[Last Name]])))</f>
        <v>Emma Wilson</v>
      </c>
      <c r="E3" s="27" t="s">
        <v>160</v>
      </c>
      <c r="F3" s="26" t="s">
        <v>161</v>
      </c>
      <c r="G3" s="26" t="s">
        <v>162</v>
      </c>
      <c r="H3" s="26" t="s">
        <v>163</v>
      </c>
    </row>
    <row r="4" spans="1:8" ht="14.25" customHeight="1">
      <c r="A4" s="26" t="s">
        <v>164</v>
      </c>
      <c r="B4" s="26" t="s">
        <v>165</v>
      </c>
      <c r="C4" s="26" t="s">
        <v>166</v>
      </c>
      <c r="D4" s="26" t="str">
        <f>TRIM(PROPER(CONCATENATE(Table3[[#This Row],[First Name]],"  ",Table3[[#This Row],[Last Name]])))</f>
        <v>Arjun Nair</v>
      </c>
      <c r="E4" s="27" t="s">
        <v>167</v>
      </c>
      <c r="F4" s="26" t="s">
        <v>168</v>
      </c>
      <c r="G4" s="26" t="s">
        <v>169</v>
      </c>
      <c r="H4" s="26" t="s">
        <v>170</v>
      </c>
    </row>
    <row r="5" spans="1:8" ht="14.25" customHeight="1">
      <c r="A5" s="26" t="s">
        <v>270</v>
      </c>
      <c r="B5" s="26" t="s">
        <v>171</v>
      </c>
      <c r="C5" s="26" t="s">
        <v>172</v>
      </c>
      <c r="D5" s="26" t="str">
        <f>TRIM(PROPER(CONCATENATE(Table3[[#This Row],[First Name]],"  ",Table3[[#This Row],[Last Name]])))</f>
        <v>Priya Menon</v>
      </c>
      <c r="E5" s="27" t="s">
        <v>173</v>
      </c>
      <c r="F5" s="26" t="s">
        <v>174</v>
      </c>
      <c r="G5" s="26" t="s">
        <v>155</v>
      </c>
      <c r="H5" s="26" t="s">
        <v>175</v>
      </c>
    </row>
    <row r="6" spans="1:8" ht="14.25" customHeight="1">
      <c r="A6" s="26" t="s">
        <v>271</v>
      </c>
      <c r="B6" s="26" t="s">
        <v>176</v>
      </c>
      <c r="C6" s="26" t="s">
        <v>177</v>
      </c>
      <c r="D6" s="26" t="str">
        <f>TRIM(PROPER(CONCATENATE(Table3[[#This Row],[First Name]],"  ",Table3[[#This Row],[Last Name]])))</f>
        <v>Rahul Sharma</v>
      </c>
      <c r="E6" s="27" t="s">
        <v>178</v>
      </c>
      <c r="F6" s="26" t="s">
        <v>179</v>
      </c>
      <c r="G6" s="26" t="s">
        <v>180</v>
      </c>
      <c r="H6" s="26" t="s">
        <v>181</v>
      </c>
    </row>
    <row r="7" spans="1:8" ht="14.25" customHeight="1">
      <c r="A7" s="26" t="s">
        <v>272</v>
      </c>
      <c r="B7" s="26" t="s">
        <v>182</v>
      </c>
      <c r="C7" s="26" t="s">
        <v>183</v>
      </c>
      <c r="D7" s="26" t="str">
        <f>TRIM(PROPER(CONCATENATE(Table3[[#This Row],[First Name]],"  ",Table3[[#This Row],[Last Name]])))</f>
        <v>Sneha Joseph</v>
      </c>
      <c r="E7" s="27" t="s">
        <v>184</v>
      </c>
      <c r="F7" s="26" t="s">
        <v>185</v>
      </c>
      <c r="G7" s="26" t="s">
        <v>186</v>
      </c>
      <c r="H7" s="26" t="s">
        <v>187</v>
      </c>
    </row>
    <row r="8" spans="1:8" ht="14.25" customHeight="1">
      <c r="A8" s="26" t="s">
        <v>273</v>
      </c>
      <c r="B8" s="26" t="s">
        <v>188</v>
      </c>
      <c r="C8" s="26" t="s">
        <v>189</v>
      </c>
      <c r="D8" s="26" t="str">
        <f>TRIM(PROPER(CONCATENATE(Table3[[#This Row],[First Name]],"  ",Table3[[#This Row],[Last Name]])))</f>
        <v>David Brown</v>
      </c>
      <c r="E8" s="27" t="s">
        <v>190</v>
      </c>
      <c r="F8" s="26" t="s">
        <v>191</v>
      </c>
      <c r="G8" s="26" t="s">
        <v>180</v>
      </c>
      <c r="H8" s="26" t="s">
        <v>192</v>
      </c>
    </row>
    <row r="9" spans="1:8" ht="14.25" customHeight="1">
      <c r="A9" s="26" t="s">
        <v>274</v>
      </c>
      <c r="B9" s="26" t="s">
        <v>193</v>
      </c>
      <c r="C9" s="26" t="s">
        <v>194</v>
      </c>
      <c r="D9" s="26" t="str">
        <f>TRIM(PROPER(CONCATENATE(Table3[[#This Row],[First Name]],"  ",Table3[[#This Row],[Last Name]])))</f>
        <v>Anjali Das</v>
      </c>
      <c r="E9" s="27" t="s">
        <v>195</v>
      </c>
      <c r="F9" s="26" t="s">
        <v>196</v>
      </c>
      <c r="G9" s="26" t="s">
        <v>197</v>
      </c>
      <c r="H9" s="26" t="s">
        <v>198</v>
      </c>
    </row>
    <row r="10" spans="1:8" ht="14.25" customHeight="1">
      <c r="A10" s="26" t="s">
        <v>275</v>
      </c>
      <c r="B10" s="26" t="s">
        <v>199</v>
      </c>
      <c r="C10" s="26" t="s">
        <v>200</v>
      </c>
      <c r="D10" s="26" t="str">
        <f>TRIM(PROPER(CONCATENATE(Table3[[#This Row],[First Name]],"  ",Table3[[#This Row],[Last Name]])))</f>
        <v>Mohammed Ali</v>
      </c>
      <c r="E10" s="27" t="s">
        <v>201</v>
      </c>
      <c r="F10" s="26" t="s">
        <v>202</v>
      </c>
      <c r="G10" s="26" t="s">
        <v>202</v>
      </c>
      <c r="H10" s="26" t="s">
        <v>203</v>
      </c>
    </row>
    <row r="11" spans="1:8" ht="14.25" customHeight="1">
      <c r="A11" s="26" t="s">
        <v>276</v>
      </c>
      <c r="B11" s="26" t="s">
        <v>204</v>
      </c>
      <c r="C11" s="26" t="s">
        <v>205</v>
      </c>
      <c r="D11" s="26" t="str">
        <f>TRIM(PROPER(CONCATENATE(Table3[[#This Row],[First Name]],"  ",Table3[[#This Row],[Last Name]])))</f>
        <v>Neha Patel</v>
      </c>
      <c r="E11" s="27" t="s">
        <v>206</v>
      </c>
      <c r="F11" s="26" t="s">
        <v>207</v>
      </c>
      <c r="G11" s="26" t="s">
        <v>208</v>
      </c>
      <c r="H11" s="26" t="s">
        <v>209</v>
      </c>
    </row>
    <row r="12" spans="1:8" ht="14.25" customHeight="1">
      <c r="A12" s="26" t="s">
        <v>277</v>
      </c>
      <c r="B12" s="26" t="s">
        <v>210</v>
      </c>
      <c r="C12" s="26" t="s">
        <v>211</v>
      </c>
      <c r="D12" s="26" t="str">
        <f>TRIM(PROPER(CONCATENATE(Table3[[#This Row],[First Name]],"  ",Table3[[#This Row],[Last Name]])))</f>
        <v>Rohan Kumar</v>
      </c>
      <c r="E12" s="27" t="s">
        <v>212</v>
      </c>
      <c r="F12" s="26" t="s">
        <v>213</v>
      </c>
      <c r="G12" s="26" t="s">
        <v>214</v>
      </c>
      <c r="H12" s="26" t="s">
        <v>215</v>
      </c>
    </row>
    <row r="13" spans="1:8" ht="14.25" customHeight="1">
      <c r="A13" s="26" t="s">
        <v>278</v>
      </c>
      <c r="B13" s="26" t="s">
        <v>216</v>
      </c>
      <c r="C13" s="26" t="s">
        <v>217</v>
      </c>
      <c r="D13" s="26" t="str">
        <f>TRIM(PROPER(CONCATENATE(Table3[[#This Row],[First Name]],"  ",Table3[[#This Row],[Last Name]])))</f>
        <v>Fatima Khan</v>
      </c>
      <c r="E13" s="27" t="s">
        <v>218</v>
      </c>
      <c r="F13" s="26" t="s">
        <v>219</v>
      </c>
      <c r="G13" s="26" t="s">
        <v>220</v>
      </c>
      <c r="H13" s="26" t="s">
        <v>221</v>
      </c>
    </row>
    <row r="14" spans="1:8" ht="14.25" customHeight="1">
      <c r="A14" s="26" t="s">
        <v>279</v>
      </c>
      <c r="B14" s="26" t="s">
        <v>222</v>
      </c>
      <c r="C14" s="26" t="s">
        <v>223</v>
      </c>
      <c r="D14" s="26" t="str">
        <f>TRIM(PROPER(CONCATENATE(Table3[[#This Row],[First Name]],"  ",Table3[[#This Row],[Last Name]])))</f>
        <v>Vivek R</v>
      </c>
      <c r="E14" s="27" t="s">
        <v>224</v>
      </c>
      <c r="F14" s="26" t="s">
        <v>225</v>
      </c>
      <c r="G14" s="26" t="s">
        <v>169</v>
      </c>
      <c r="H14" s="26" t="s">
        <v>226</v>
      </c>
    </row>
    <row r="15" spans="1:8" ht="14.25" customHeight="1">
      <c r="A15" s="26" t="s">
        <v>280</v>
      </c>
      <c r="B15" s="26" t="s">
        <v>227</v>
      </c>
      <c r="C15" s="26" t="s">
        <v>228</v>
      </c>
      <c r="D15" s="26" t="str">
        <f>TRIM(PROPER(CONCATENATE(Table3[[#This Row],[First Name]],"  ",Table3[[#This Row],[Last Name]])))</f>
        <v>Anthony Thomas</v>
      </c>
      <c r="E15" s="27" t="s">
        <v>229</v>
      </c>
      <c r="F15" s="26" t="s">
        <v>230</v>
      </c>
      <c r="G15" s="26" t="s">
        <v>155</v>
      </c>
      <c r="H15" s="26" t="s">
        <v>231</v>
      </c>
    </row>
    <row r="16" spans="1:8" ht="14.25" customHeight="1">
      <c r="A16" s="26" t="s">
        <v>281</v>
      </c>
      <c r="B16" s="26" t="s">
        <v>232</v>
      </c>
      <c r="C16" s="26" t="s">
        <v>233</v>
      </c>
      <c r="D16" s="26" t="str">
        <f>TRIM(PROPER(CONCATENATE(Table3[[#This Row],[First Name]],"  ",Table3[[#This Row],[Last Name]])))</f>
        <v>Meera Iyer</v>
      </c>
      <c r="E16" s="27" t="s">
        <v>234</v>
      </c>
      <c r="F16" s="26" t="s">
        <v>235</v>
      </c>
      <c r="G16" s="26" t="s">
        <v>162</v>
      </c>
      <c r="H16" s="26" t="s">
        <v>236</v>
      </c>
    </row>
    <row r="17" spans="1:8" ht="14.25" customHeight="1">
      <c r="A17" s="26" t="s">
        <v>282</v>
      </c>
      <c r="B17" s="26" t="s">
        <v>237</v>
      </c>
      <c r="C17" s="26" t="s">
        <v>238</v>
      </c>
      <c r="D17" s="26" t="str">
        <f>TRIM(PROPER(CONCATENATE(Table3[[#This Row],[First Name]],"  ",Table3[[#This Row],[Last Name]])))</f>
        <v>Sanjay Gupta</v>
      </c>
      <c r="E17" s="27" t="s">
        <v>239</v>
      </c>
      <c r="F17" s="26" t="s">
        <v>240</v>
      </c>
      <c r="G17" s="26" t="s">
        <v>208</v>
      </c>
      <c r="H17" s="26" t="s">
        <v>241</v>
      </c>
    </row>
    <row r="18" spans="1:8" ht="14.25" customHeight="1">
      <c r="A18" s="26" t="s">
        <v>283</v>
      </c>
      <c r="B18" s="26" t="s">
        <v>242</v>
      </c>
      <c r="C18" s="26" t="s">
        <v>243</v>
      </c>
      <c r="D18" s="26" t="str">
        <f>TRIM(PROPER(CONCATENATE(Table3[[#This Row],[First Name]],"  ",Table3[[#This Row],[Last Name]])))</f>
        <v>Pooja Singh</v>
      </c>
      <c r="E18" s="27" t="s">
        <v>244</v>
      </c>
      <c r="F18" s="26" t="s">
        <v>245</v>
      </c>
      <c r="G18" s="26" t="s">
        <v>246</v>
      </c>
      <c r="H18" s="26" t="s">
        <v>247</v>
      </c>
    </row>
    <row r="19" spans="1:8" ht="14.25" customHeight="1">
      <c r="A19" s="26" t="s">
        <v>284</v>
      </c>
      <c r="B19" s="26" t="s">
        <v>248</v>
      </c>
      <c r="C19" s="26" t="s">
        <v>249</v>
      </c>
      <c r="D19" s="26" t="str">
        <f>TRIM(PROPER(CONCATENATE(Table3[[#This Row],[First Name]],"  ",Table3[[#This Row],[Last Name]])))</f>
        <v>Kevin George</v>
      </c>
      <c r="E19" s="27" t="s">
        <v>250</v>
      </c>
      <c r="F19" s="26" t="s">
        <v>251</v>
      </c>
      <c r="G19" s="26" t="s">
        <v>251</v>
      </c>
      <c r="H19" s="26" t="s">
        <v>252</v>
      </c>
    </row>
    <row r="20" spans="1:8" ht="14.25" customHeight="1">
      <c r="A20" s="26" t="s">
        <v>285</v>
      </c>
      <c r="B20" s="26" t="s">
        <v>253</v>
      </c>
      <c r="C20" s="26" t="s">
        <v>254</v>
      </c>
      <c r="D20" s="26" t="str">
        <f>TRIM(PROPER(CONCATENATE(Table3[[#This Row],[First Name]],"  ",Table3[[#This Row],[Last Name]])))</f>
        <v>Lakshmi P</v>
      </c>
      <c r="E20" s="27" t="s">
        <v>255</v>
      </c>
      <c r="F20" s="26" t="s">
        <v>256</v>
      </c>
      <c r="G20" s="26" t="s">
        <v>162</v>
      </c>
      <c r="H20" s="26" t="s">
        <v>257</v>
      </c>
    </row>
    <row r="21" spans="1:8" ht="14.25" customHeight="1">
      <c r="A21" s="26" t="s">
        <v>286</v>
      </c>
      <c r="B21" s="26" t="s">
        <v>258</v>
      </c>
      <c r="C21" s="26" t="s">
        <v>259</v>
      </c>
      <c r="D21" s="26" t="str">
        <f>TRIM(PROPER(CONCATENATE(Table3[[#This Row],[First Name]],"  ",Table3[[#This Row],[Last Name]])))</f>
        <v>Nikhil Verma</v>
      </c>
      <c r="E21" s="27" t="s">
        <v>260</v>
      </c>
      <c r="F21" s="26" t="s">
        <v>261</v>
      </c>
      <c r="G21" s="26" t="s">
        <v>262</v>
      </c>
      <c r="H21" s="26" t="s">
        <v>263</v>
      </c>
    </row>
    <row r="22" spans="1:8" ht="14.25" customHeight="1"/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14" type="noConversion"/>
  <hyperlinks>
    <hyperlink ref="E2" r:id="rId1" xr:uid="{3FE05B2C-28C8-4002-A481-D01CD87EAB49}"/>
    <hyperlink ref="E3" r:id="rId2" xr:uid="{1B7290A2-52F1-4177-9A07-4ADE3C12D1FB}"/>
    <hyperlink ref="E4" r:id="rId3" xr:uid="{AAB563CC-2D2D-4C78-8C39-40806444B646}"/>
    <hyperlink ref="E5" r:id="rId4" xr:uid="{EFD47456-9C0A-43A8-81E5-0CA3B93657D5}"/>
    <hyperlink ref="E6" r:id="rId5" xr:uid="{2E476E72-8817-4CD1-AB1F-4160FA5ED76F}"/>
    <hyperlink ref="E7" r:id="rId6" xr:uid="{91802243-5F41-46B9-96E9-66FAEB1D03FD}"/>
    <hyperlink ref="E8" r:id="rId7" xr:uid="{31B66BE5-DE49-4E21-B1FE-01E326527735}"/>
    <hyperlink ref="E9" r:id="rId8" xr:uid="{68416CBA-7478-445C-935F-23D018FFAC92}"/>
    <hyperlink ref="E10" r:id="rId9" xr:uid="{0C65EC25-53CC-4B78-BA2E-62CBBC634B0E}"/>
    <hyperlink ref="E11" r:id="rId10" xr:uid="{E5193586-0E71-43DC-82A3-0B8514A0010E}"/>
    <hyperlink ref="E12" r:id="rId11" xr:uid="{9446D3DF-859B-44BC-81AA-FF7872F7300D}"/>
    <hyperlink ref="E13" r:id="rId12" xr:uid="{82E8CE3E-D8DC-4834-BF27-3B39D009EB88}"/>
    <hyperlink ref="E14" r:id="rId13" xr:uid="{256FBCD8-5A52-4557-B554-81F15B073C4D}"/>
    <hyperlink ref="E15" r:id="rId14" xr:uid="{02F350F4-0260-45BD-833E-2DBBE5768577}"/>
    <hyperlink ref="E16" r:id="rId15" xr:uid="{A2C6E7F6-722A-4231-B82F-1E3D06C4510F}"/>
    <hyperlink ref="E17" r:id="rId16" xr:uid="{6F412889-8BBC-4BA9-A197-40B09C10B5BD}"/>
    <hyperlink ref="E18" r:id="rId17" xr:uid="{EEAD4791-BB26-4249-BB9D-60375CB80B2B}"/>
    <hyperlink ref="E19" r:id="rId18" xr:uid="{D6B6A65A-06E9-47F1-83E3-475B5762D4D8}"/>
    <hyperlink ref="E20" r:id="rId19" xr:uid="{22CD2D48-ADAF-4C31-BACF-90B234D50A40}"/>
    <hyperlink ref="E21" r:id="rId20" xr:uid="{607FAE37-D023-44F0-8BAE-AFF49EA9E125}"/>
  </hyperlinks>
  <pageMargins left="0.7" right="0.7" top="0.75" bottom="0.75" header="0" footer="0"/>
  <pageSetup orientation="landscape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53125" defaultRowHeight="15" customHeight="1"/>
  <cols>
    <col min="1" max="1" width="13" customWidth="1"/>
    <col min="2" max="3" width="38" customWidth="1"/>
    <col min="4" max="4" width="40" customWidth="1"/>
    <col min="5" max="5" width="38" customWidth="1"/>
    <col min="6" max="26" width="8.54296875" customWidth="1"/>
  </cols>
  <sheetData>
    <row r="1" spans="1:5" ht="31.5" customHeight="1">
      <c r="A1" s="28" t="s">
        <v>0</v>
      </c>
      <c r="B1" s="29"/>
      <c r="C1" s="29"/>
      <c r="D1" s="29"/>
      <c r="E1" s="30"/>
    </row>
    <row r="2" spans="1:5" ht="18" customHeight="1">
      <c r="A2" s="31" t="s">
        <v>1</v>
      </c>
      <c r="B2" s="29"/>
      <c r="C2" s="29"/>
      <c r="D2" s="29"/>
      <c r="E2" s="30"/>
    </row>
    <row r="3" spans="1:5" ht="19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51.75" customHeight="1">
      <c r="A4" s="2" t="s">
        <v>7</v>
      </c>
      <c r="B4" s="3" t="s">
        <v>8</v>
      </c>
      <c r="C4" s="4" t="s">
        <v>9</v>
      </c>
      <c r="D4" s="5" t="s">
        <v>10</v>
      </c>
      <c r="E4" s="3" t="s">
        <v>11</v>
      </c>
    </row>
    <row r="5" spans="1:5" ht="51.75" customHeight="1">
      <c r="A5" s="6" t="s">
        <v>12</v>
      </c>
      <c r="B5" s="7" t="s">
        <v>13</v>
      </c>
      <c r="C5" s="4" t="s">
        <v>14</v>
      </c>
      <c r="D5" s="8" t="s">
        <v>15</v>
      </c>
      <c r="E5" s="7" t="s">
        <v>16</v>
      </c>
    </row>
    <row r="6" spans="1:5" ht="51.75" customHeight="1">
      <c r="A6" s="2" t="s">
        <v>17</v>
      </c>
      <c r="B6" s="3" t="s">
        <v>18</v>
      </c>
      <c r="C6" s="4" t="s">
        <v>19</v>
      </c>
      <c r="D6" s="5" t="s">
        <v>20</v>
      </c>
      <c r="E6" s="3" t="s">
        <v>21</v>
      </c>
    </row>
    <row r="7" spans="1:5" ht="51.75" customHeight="1">
      <c r="A7" s="6" t="s">
        <v>22</v>
      </c>
      <c r="B7" s="7" t="s">
        <v>23</v>
      </c>
      <c r="C7" s="4" t="s">
        <v>24</v>
      </c>
      <c r="D7" s="8" t="s">
        <v>25</v>
      </c>
      <c r="E7" s="7" t="s">
        <v>26</v>
      </c>
    </row>
    <row r="8" spans="1:5" ht="51.75" customHeight="1">
      <c r="A8" s="2" t="s">
        <v>27</v>
      </c>
      <c r="B8" s="3" t="s">
        <v>28</v>
      </c>
      <c r="C8" s="4" t="s">
        <v>29</v>
      </c>
      <c r="D8" s="5" t="s">
        <v>25</v>
      </c>
      <c r="E8" s="3" t="s">
        <v>30</v>
      </c>
    </row>
    <row r="9" spans="1:5" ht="51.75" customHeight="1">
      <c r="A9" s="6" t="s">
        <v>31</v>
      </c>
      <c r="B9" s="7" t="s">
        <v>32</v>
      </c>
      <c r="C9" s="4" t="s">
        <v>33</v>
      </c>
      <c r="D9" s="8" t="s">
        <v>34</v>
      </c>
      <c r="E9" s="7" t="s">
        <v>35</v>
      </c>
    </row>
    <row r="10" spans="1:5" ht="51.75" customHeight="1">
      <c r="A10" s="2" t="s">
        <v>36</v>
      </c>
      <c r="B10" s="3" t="s">
        <v>37</v>
      </c>
      <c r="C10" s="4" t="s">
        <v>38</v>
      </c>
      <c r="D10" s="5" t="s">
        <v>39</v>
      </c>
      <c r="E10" s="3" t="s">
        <v>40</v>
      </c>
    </row>
    <row r="11" spans="1:5" ht="51.75" customHeight="1">
      <c r="A11" s="6" t="s">
        <v>41</v>
      </c>
      <c r="B11" s="7" t="s">
        <v>42</v>
      </c>
      <c r="C11" s="4" t="s">
        <v>43</v>
      </c>
      <c r="D11" s="8" t="s">
        <v>44</v>
      </c>
      <c r="E11" s="7" t="s">
        <v>45</v>
      </c>
    </row>
    <row r="12" spans="1:5" ht="13.5" customHeight="1">
      <c r="A12" s="32" t="s">
        <v>46</v>
      </c>
      <c r="B12" s="29"/>
      <c r="C12" s="29"/>
      <c r="D12" s="29"/>
      <c r="E12" s="30"/>
    </row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2:E2"/>
    <mergeCell ref="A12:E12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E1" workbookViewId="0">
      <selection activeCell="K3" sqref="K3"/>
    </sheetView>
  </sheetViews>
  <sheetFormatPr defaultColWidth="14.453125" defaultRowHeight="15" customHeight="1"/>
  <cols>
    <col min="1" max="1" width="16" customWidth="1"/>
    <col min="2" max="2" width="36" customWidth="1"/>
    <col min="3" max="3" width="26" customWidth="1"/>
    <col min="4" max="4" width="16" customWidth="1"/>
    <col min="5" max="5" width="8.54296875" customWidth="1"/>
    <col min="6" max="6" width="14.54296875" customWidth="1"/>
    <col min="7" max="7" width="34.453125" customWidth="1"/>
    <col min="8" max="8" width="22.453125" customWidth="1"/>
    <col min="9" max="9" width="41.7265625" customWidth="1"/>
    <col min="10" max="10" width="8.54296875" customWidth="1"/>
    <col min="11" max="11" width="12.26953125" customWidth="1"/>
    <col min="12" max="26" width="8.54296875" customWidth="1"/>
  </cols>
  <sheetData>
    <row r="1" spans="1:13" ht="31.5" customHeight="1">
      <c r="A1" s="28" t="s">
        <v>47</v>
      </c>
      <c r="B1" s="29"/>
      <c r="C1" s="29"/>
      <c r="D1" s="30"/>
      <c r="F1" s="31" t="s">
        <v>48</v>
      </c>
      <c r="G1" s="29"/>
      <c r="H1" s="29"/>
      <c r="I1" s="33"/>
      <c r="J1" s="9"/>
      <c r="K1" s="10"/>
      <c r="L1" s="11"/>
      <c r="M1" s="11"/>
    </row>
    <row r="2" spans="1:13" ht="18" customHeight="1">
      <c r="A2" s="31" t="s">
        <v>49</v>
      </c>
      <c r="B2" s="29"/>
      <c r="C2" s="29"/>
      <c r="D2" s="30"/>
      <c r="F2" s="1" t="s">
        <v>2</v>
      </c>
      <c r="G2" s="1" t="s">
        <v>50</v>
      </c>
      <c r="H2" s="1" t="s">
        <v>51</v>
      </c>
      <c r="I2" s="12" t="s">
        <v>52</v>
      </c>
      <c r="J2" s="13"/>
      <c r="K2" s="10"/>
      <c r="L2" s="11"/>
      <c r="M2" s="11"/>
    </row>
    <row r="3" spans="1:13" ht="19.5" customHeight="1">
      <c r="A3" s="1" t="s">
        <v>53</v>
      </c>
      <c r="B3" s="1" t="s">
        <v>54</v>
      </c>
      <c r="C3" s="1" t="s">
        <v>55</v>
      </c>
      <c r="D3" s="1" t="s">
        <v>56</v>
      </c>
      <c r="F3" s="1" t="s">
        <v>7</v>
      </c>
      <c r="G3" s="14" t="str">
        <f>LEFT(A4,3)</f>
        <v>EMP</v>
      </c>
      <c r="H3" s="15" t="s">
        <v>264</v>
      </c>
      <c r="I3" s="16" t="s">
        <v>57</v>
      </c>
      <c r="J3" s="16"/>
      <c r="K3" s="10"/>
      <c r="L3" s="11"/>
      <c r="M3" s="11"/>
    </row>
    <row r="4" spans="1:13" ht="19.5" customHeight="1">
      <c r="A4" s="17" t="s">
        <v>58</v>
      </c>
      <c r="B4" s="7" t="s">
        <v>59</v>
      </c>
      <c r="C4" s="7" t="s">
        <v>60</v>
      </c>
      <c r="D4" s="7" t="s">
        <v>61</v>
      </c>
      <c r="F4" s="1" t="s">
        <v>12</v>
      </c>
      <c r="G4" s="14" t="s">
        <v>62</v>
      </c>
      <c r="H4" s="15">
        <v>2024</v>
      </c>
      <c r="I4" s="16" t="s">
        <v>63</v>
      </c>
      <c r="J4" s="16"/>
      <c r="K4" s="10"/>
      <c r="L4" s="11"/>
      <c r="M4" s="11"/>
    </row>
    <row r="5" spans="1:13" ht="19.5" customHeight="1">
      <c r="A5" s="18" t="s">
        <v>64</v>
      </c>
      <c r="B5" s="3" t="s">
        <v>65</v>
      </c>
      <c r="C5" s="3" t="s">
        <v>66</v>
      </c>
      <c r="D5" s="3" t="s">
        <v>67</v>
      </c>
      <c r="F5" s="1" t="s">
        <v>17</v>
      </c>
      <c r="G5" s="14" t="s">
        <v>68</v>
      </c>
      <c r="H5" s="15" t="s">
        <v>265</v>
      </c>
      <c r="I5" s="16" t="s">
        <v>69</v>
      </c>
      <c r="J5" s="16"/>
      <c r="K5" s="19"/>
      <c r="L5" s="20"/>
      <c r="M5" s="20"/>
    </row>
    <row r="6" spans="1:13" ht="19.5" customHeight="1">
      <c r="A6" s="17" t="s">
        <v>70</v>
      </c>
      <c r="B6" s="7" t="s">
        <v>71</v>
      </c>
      <c r="C6" s="7" t="s">
        <v>72</v>
      </c>
      <c r="D6" s="7" t="s">
        <v>73</v>
      </c>
      <c r="F6" s="1" t="s">
        <v>22</v>
      </c>
      <c r="G6" s="14" t="s">
        <v>74</v>
      </c>
      <c r="H6" s="15" t="s">
        <v>266</v>
      </c>
      <c r="I6" s="16" t="s">
        <v>75</v>
      </c>
      <c r="J6" s="16"/>
      <c r="K6" s="16"/>
    </row>
    <row r="7" spans="1:13" ht="19.5" customHeight="1">
      <c r="A7" s="18" t="s">
        <v>76</v>
      </c>
      <c r="B7" s="3" t="s">
        <v>77</v>
      </c>
      <c r="C7" s="3" t="s">
        <v>78</v>
      </c>
      <c r="D7" s="3" t="s">
        <v>79</v>
      </c>
      <c r="F7" s="1" t="s">
        <v>27</v>
      </c>
      <c r="G7" s="14" t="s">
        <v>80</v>
      </c>
      <c r="H7" s="15" t="s">
        <v>267</v>
      </c>
      <c r="I7" s="16" t="s">
        <v>81</v>
      </c>
      <c r="J7" s="16"/>
      <c r="K7" s="16"/>
    </row>
    <row r="8" spans="1:13" ht="19.5" customHeight="1">
      <c r="A8" s="17" t="s">
        <v>82</v>
      </c>
      <c r="B8" s="7" t="s">
        <v>83</v>
      </c>
      <c r="C8" s="7" t="s">
        <v>84</v>
      </c>
      <c r="D8" s="7" t="s">
        <v>61</v>
      </c>
      <c r="F8" s="1" t="s">
        <v>31</v>
      </c>
      <c r="G8" s="14" t="s">
        <v>85</v>
      </c>
      <c r="H8" s="15" t="s">
        <v>268</v>
      </c>
      <c r="I8" s="16" t="s">
        <v>86</v>
      </c>
      <c r="J8" s="16"/>
      <c r="K8" s="16"/>
    </row>
    <row r="9" spans="1:13" ht="24" customHeight="1">
      <c r="F9" s="1" t="s">
        <v>36</v>
      </c>
      <c r="G9" s="14" t="s">
        <v>87</v>
      </c>
      <c r="H9" s="15" t="s">
        <v>269</v>
      </c>
      <c r="I9" s="16" t="s">
        <v>88</v>
      </c>
      <c r="J9" s="16"/>
      <c r="K9" s="16"/>
    </row>
    <row r="10" spans="1:13" ht="18" customHeight="1">
      <c r="F10" s="1" t="s">
        <v>41</v>
      </c>
      <c r="G10" s="14" t="s">
        <v>89</v>
      </c>
      <c r="H10" s="15" t="s">
        <v>269</v>
      </c>
      <c r="I10" s="16" t="s">
        <v>90</v>
      </c>
      <c r="J10" s="16"/>
      <c r="K10" s="16"/>
    </row>
    <row r="11" spans="1:13" ht="19.5" customHeight="1">
      <c r="F11" s="32" t="s">
        <v>91</v>
      </c>
      <c r="G11" s="29"/>
      <c r="H11" s="29"/>
      <c r="I11" s="29"/>
      <c r="J11" s="29"/>
      <c r="K11" s="30"/>
    </row>
    <row r="12" spans="1:13" ht="27.75" customHeight="1"/>
    <row r="13" spans="1:13" ht="27.75" customHeight="1"/>
    <row r="14" spans="1:13" ht="27.75" customHeight="1"/>
    <row r="15" spans="1:13" ht="27.75" customHeight="1"/>
    <row r="16" spans="1:13" ht="27.75" customHeight="1"/>
    <row r="17" ht="27.75" customHeight="1"/>
    <row r="18" ht="27.75" customHeight="1"/>
    <row r="19" ht="27.75" customHeight="1"/>
    <row r="20" ht="13.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F1:I1"/>
    <mergeCell ref="A2:D2"/>
    <mergeCell ref="F11:K1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H12" sqref="H12"/>
    </sheetView>
  </sheetViews>
  <sheetFormatPr defaultColWidth="14.453125" defaultRowHeight="15" customHeight="1"/>
  <cols>
    <col min="1" max="1" width="11.453125" customWidth="1"/>
    <col min="2" max="2" width="19.54296875" customWidth="1"/>
    <col min="3" max="3" width="26.08984375" customWidth="1"/>
    <col min="4" max="4" width="16" customWidth="1"/>
    <col min="5" max="6" width="8.54296875" customWidth="1"/>
    <col min="7" max="7" width="55.54296875" customWidth="1"/>
    <col min="8" max="8" width="22.36328125" customWidth="1"/>
    <col min="9" max="26" width="8.54296875" customWidth="1"/>
  </cols>
  <sheetData>
    <row r="1" spans="1:8" ht="31.5" customHeight="1">
      <c r="A1" s="28" t="s">
        <v>92</v>
      </c>
      <c r="B1" s="29"/>
      <c r="C1" s="29"/>
      <c r="D1" s="30"/>
      <c r="F1" s="31" t="s">
        <v>93</v>
      </c>
      <c r="G1" s="29"/>
      <c r="H1" s="30"/>
    </row>
    <row r="2" spans="1:8" ht="18" customHeight="1">
      <c r="A2" s="31" t="s">
        <v>94</v>
      </c>
      <c r="B2" s="29"/>
      <c r="C2" s="29"/>
      <c r="D2" s="30"/>
      <c r="F2" s="1" t="s">
        <v>95</v>
      </c>
      <c r="G2" s="1" t="s">
        <v>96</v>
      </c>
      <c r="H2" s="12" t="s">
        <v>97</v>
      </c>
    </row>
    <row r="3" spans="1:8" ht="19.5" customHeight="1">
      <c r="A3" s="1" t="s">
        <v>98</v>
      </c>
      <c r="B3" s="1" t="s">
        <v>99</v>
      </c>
      <c r="C3" s="1" t="s">
        <v>55</v>
      </c>
      <c r="D3" s="1" t="s">
        <v>100</v>
      </c>
      <c r="F3" s="21" t="s">
        <v>101</v>
      </c>
      <c r="G3" s="7" t="s">
        <v>102</v>
      </c>
      <c r="H3" s="22" t="str">
        <f>LEFT(A4,2)</f>
        <v>BK</v>
      </c>
    </row>
    <row r="4" spans="1:8" ht="19.5" customHeight="1">
      <c r="A4" s="17" t="s">
        <v>103</v>
      </c>
      <c r="B4" s="7" t="s">
        <v>104</v>
      </c>
      <c r="C4" s="7" t="s">
        <v>105</v>
      </c>
      <c r="D4" s="7" t="s">
        <v>106</v>
      </c>
      <c r="F4" s="21" t="s">
        <v>107</v>
      </c>
      <c r="G4" s="7" t="s">
        <v>108</v>
      </c>
      <c r="H4" s="22" t="str">
        <f>MID(A4,4,4)</f>
        <v>2024</v>
      </c>
    </row>
    <row r="5" spans="1:8" ht="19.5" customHeight="1">
      <c r="A5" s="23" t="s">
        <v>109</v>
      </c>
      <c r="B5" s="24" t="s">
        <v>110</v>
      </c>
      <c r="C5" s="24" t="s">
        <v>111</v>
      </c>
      <c r="D5" s="24" t="s">
        <v>112</v>
      </c>
      <c r="F5" s="21" t="s">
        <v>113</v>
      </c>
      <c r="G5" s="7" t="s">
        <v>114</v>
      </c>
      <c r="H5" s="22" t="str">
        <f>RIGHT(A5,3)</f>
        <v>502</v>
      </c>
    </row>
    <row r="6" spans="1:8" ht="19.5" customHeight="1">
      <c r="A6" s="17" t="s">
        <v>115</v>
      </c>
      <c r="B6" s="7" t="s">
        <v>116</v>
      </c>
      <c r="C6" s="7" t="s">
        <v>117</v>
      </c>
      <c r="D6" s="7" t="s">
        <v>118</v>
      </c>
      <c r="F6" s="21" t="s">
        <v>119</v>
      </c>
      <c r="G6" s="7" t="s">
        <v>120</v>
      </c>
      <c r="H6" s="22" t="str">
        <f>UPPER(D6)</f>
        <v>KOCHI</v>
      </c>
    </row>
    <row r="7" spans="1:8" ht="19.5" customHeight="1">
      <c r="A7" s="23" t="s">
        <v>121</v>
      </c>
      <c r="B7" s="24" t="s">
        <v>122</v>
      </c>
      <c r="C7" s="24" t="s">
        <v>123</v>
      </c>
      <c r="D7" s="24" t="s">
        <v>124</v>
      </c>
      <c r="F7" s="21" t="s">
        <v>125</v>
      </c>
      <c r="G7" s="7" t="s">
        <v>126</v>
      </c>
      <c r="H7" s="22" t="str">
        <f>LOWER(C4)</f>
        <v>ananya.singh@shop.com</v>
      </c>
    </row>
    <row r="8" spans="1:8" ht="19.5" customHeight="1">
      <c r="A8" s="17" t="s">
        <v>127</v>
      </c>
      <c r="B8" s="7" t="s">
        <v>128</v>
      </c>
      <c r="C8" s="7" t="s">
        <v>129</v>
      </c>
      <c r="D8" s="7" t="s">
        <v>130</v>
      </c>
      <c r="F8" s="21" t="s">
        <v>131</v>
      </c>
      <c r="G8" s="7" t="s">
        <v>132</v>
      </c>
      <c r="H8" s="22" t="str">
        <f>PROPER(B7)</f>
        <v xml:space="preserve">  Kabir Khan</v>
      </c>
    </row>
    <row r="9" spans="1:8" ht="19.5" customHeight="1">
      <c r="A9" s="23" t="s">
        <v>133</v>
      </c>
      <c r="B9" s="24" t="s">
        <v>134</v>
      </c>
      <c r="C9" s="24" t="s">
        <v>135</v>
      </c>
      <c r="D9" s="24" t="s">
        <v>106</v>
      </c>
      <c r="F9" s="21" t="s">
        <v>136</v>
      </c>
      <c r="G9" s="7" t="s">
        <v>137</v>
      </c>
      <c r="H9" s="22" t="str">
        <f>TRIM(B8)</f>
        <v>Tanya Malhotra</v>
      </c>
    </row>
    <row r="10" spans="1:8" ht="14.25" customHeight="1">
      <c r="F10" s="21" t="s">
        <v>138</v>
      </c>
      <c r="G10" s="7" t="s">
        <v>139</v>
      </c>
      <c r="H10" s="22" t="str">
        <f>CONCATENATE(D9," ",A9)</f>
        <v>Pune BK-2024-506</v>
      </c>
    </row>
    <row r="11" spans="1:8" ht="18" customHeight="1">
      <c r="F11" s="21" t="s">
        <v>140</v>
      </c>
      <c r="G11" s="7" t="s">
        <v>141</v>
      </c>
      <c r="H11" s="22" t="str">
        <f>TRIM(PROPER(B9))</f>
        <v>Deepak Rao</v>
      </c>
    </row>
    <row r="12" spans="1:8" ht="19.5" customHeight="1">
      <c r="F12" s="21" t="s">
        <v>142</v>
      </c>
      <c r="G12" s="7" t="s">
        <v>143</v>
      </c>
      <c r="H12" s="22" t="str">
        <f>MID(A7,3,4)</f>
        <v>-202</v>
      </c>
    </row>
    <row r="13" spans="1:8" ht="31.5" customHeight="1"/>
    <row r="14" spans="1:8" ht="31.5" customHeight="1"/>
    <row r="15" spans="1:8" ht="31.5" customHeight="1"/>
    <row r="16" spans="1:8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D1"/>
    <mergeCell ref="F1:H1"/>
    <mergeCell ref="A2:D2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J21" sqref="J21"/>
    </sheetView>
  </sheetViews>
  <sheetFormatPr defaultColWidth="14.453125" defaultRowHeight="15" customHeight="1"/>
  <cols>
    <col min="1" max="26" width="8.7265625" customWidth="1"/>
  </cols>
  <sheetData>
    <row r="1" spans="1:7" ht="14.25" customHeight="1">
      <c r="A1" s="25" t="s">
        <v>144</v>
      </c>
      <c r="B1" s="25" t="s">
        <v>145</v>
      </c>
      <c r="C1" s="25" t="s">
        <v>146</v>
      </c>
      <c r="D1" s="25" t="s">
        <v>147</v>
      </c>
      <c r="E1" s="25" t="s">
        <v>100</v>
      </c>
      <c r="F1" s="25" t="s">
        <v>148</v>
      </c>
      <c r="G1" s="25" t="s">
        <v>149</v>
      </c>
    </row>
    <row r="2" spans="1:7" ht="14.25" customHeight="1">
      <c r="A2" s="26" t="s">
        <v>150</v>
      </c>
      <c r="B2" s="26" t="s">
        <v>151</v>
      </c>
      <c r="C2" s="26" t="s">
        <v>152</v>
      </c>
      <c r="D2" s="27" t="s">
        <v>153</v>
      </c>
      <c r="E2" s="26" t="s">
        <v>154</v>
      </c>
      <c r="F2" s="26" t="s">
        <v>155</v>
      </c>
      <c r="G2" s="26" t="s">
        <v>156</v>
      </c>
    </row>
    <row r="3" spans="1:7" ht="14.25" customHeight="1">
      <c r="A3" s="26" t="s">
        <v>157</v>
      </c>
      <c r="B3" s="26" t="s">
        <v>158</v>
      </c>
      <c r="C3" s="26" t="s">
        <v>159</v>
      </c>
      <c r="D3" s="27" t="s">
        <v>160</v>
      </c>
      <c r="E3" s="26" t="s">
        <v>161</v>
      </c>
      <c r="F3" s="26" t="s">
        <v>162</v>
      </c>
      <c r="G3" s="26" t="s">
        <v>163</v>
      </c>
    </row>
    <row r="4" spans="1:7" ht="14.25" customHeight="1">
      <c r="A4" s="26" t="s">
        <v>164</v>
      </c>
      <c r="B4" s="26" t="s">
        <v>165</v>
      </c>
      <c r="C4" s="26" t="s">
        <v>166</v>
      </c>
      <c r="D4" s="27" t="s">
        <v>167</v>
      </c>
      <c r="E4" s="26" t="s">
        <v>168</v>
      </c>
      <c r="F4" s="26" t="s">
        <v>169</v>
      </c>
      <c r="G4" s="26" t="s">
        <v>170</v>
      </c>
    </row>
    <row r="5" spans="1:7" ht="14.25" customHeight="1">
      <c r="A5" s="26"/>
      <c r="B5" s="26" t="s">
        <v>171</v>
      </c>
      <c r="C5" s="26" t="s">
        <v>172</v>
      </c>
      <c r="D5" s="27" t="s">
        <v>173</v>
      </c>
      <c r="E5" s="26" t="s">
        <v>174</v>
      </c>
      <c r="F5" s="26" t="s">
        <v>155</v>
      </c>
      <c r="G5" s="26" t="s">
        <v>175</v>
      </c>
    </row>
    <row r="6" spans="1:7" ht="14.25" customHeight="1">
      <c r="A6" s="26"/>
      <c r="B6" s="26" t="s">
        <v>176</v>
      </c>
      <c r="C6" s="26" t="s">
        <v>177</v>
      </c>
      <c r="D6" s="27" t="s">
        <v>178</v>
      </c>
      <c r="E6" s="26" t="s">
        <v>179</v>
      </c>
      <c r="F6" s="26" t="s">
        <v>180</v>
      </c>
      <c r="G6" s="26" t="s">
        <v>181</v>
      </c>
    </row>
    <row r="7" spans="1:7" ht="14.25" customHeight="1">
      <c r="A7" s="26"/>
      <c r="B7" s="26" t="s">
        <v>182</v>
      </c>
      <c r="C7" s="26" t="s">
        <v>183</v>
      </c>
      <c r="D7" s="27" t="s">
        <v>184</v>
      </c>
      <c r="E7" s="26" t="s">
        <v>185</v>
      </c>
      <c r="F7" s="26" t="s">
        <v>186</v>
      </c>
      <c r="G7" s="26" t="s">
        <v>187</v>
      </c>
    </row>
    <row r="8" spans="1:7" ht="14.25" customHeight="1">
      <c r="A8" s="26"/>
      <c r="B8" s="26" t="s">
        <v>188</v>
      </c>
      <c r="C8" s="26" t="s">
        <v>189</v>
      </c>
      <c r="D8" s="27" t="s">
        <v>190</v>
      </c>
      <c r="E8" s="26" t="s">
        <v>191</v>
      </c>
      <c r="F8" s="26" t="s">
        <v>180</v>
      </c>
      <c r="G8" s="26" t="s">
        <v>192</v>
      </c>
    </row>
    <row r="9" spans="1:7" ht="14.25" customHeight="1">
      <c r="A9" s="26"/>
      <c r="B9" s="26" t="s">
        <v>193</v>
      </c>
      <c r="C9" s="26" t="s">
        <v>194</v>
      </c>
      <c r="D9" s="27" t="s">
        <v>195</v>
      </c>
      <c r="E9" s="26" t="s">
        <v>196</v>
      </c>
      <c r="F9" s="26" t="s">
        <v>197</v>
      </c>
      <c r="G9" s="26" t="s">
        <v>198</v>
      </c>
    </row>
    <row r="10" spans="1:7" ht="14.25" customHeight="1">
      <c r="A10" s="26"/>
      <c r="B10" s="26" t="s">
        <v>199</v>
      </c>
      <c r="C10" s="26" t="s">
        <v>200</v>
      </c>
      <c r="D10" s="27" t="s">
        <v>201</v>
      </c>
      <c r="E10" s="26" t="s">
        <v>202</v>
      </c>
      <c r="F10" s="26" t="s">
        <v>202</v>
      </c>
      <c r="G10" s="26" t="s">
        <v>203</v>
      </c>
    </row>
    <row r="11" spans="1:7" ht="14.25" customHeight="1">
      <c r="A11" s="26"/>
      <c r="B11" s="26" t="s">
        <v>204</v>
      </c>
      <c r="C11" s="26" t="s">
        <v>205</v>
      </c>
      <c r="D11" s="27" t="s">
        <v>206</v>
      </c>
      <c r="E11" s="26" t="s">
        <v>207</v>
      </c>
      <c r="F11" s="26" t="s">
        <v>208</v>
      </c>
      <c r="G11" s="26" t="s">
        <v>209</v>
      </c>
    </row>
    <row r="12" spans="1:7" ht="14.25" customHeight="1">
      <c r="A12" s="26"/>
      <c r="B12" s="26" t="s">
        <v>210</v>
      </c>
      <c r="C12" s="26" t="s">
        <v>211</v>
      </c>
      <c r="D12" s="27" t="s">
        <v>212</v>
      </c>
      <c r="E12" s="26" t="s">
        <v>213</v>
      </c>
      <c r="F12" s="26" t="s">
        <v>214</v>
      </c>
      <c r="G12" s="26" t="s">
        <v>215</v>
      </c>
    </row>
    <row r="13" spans="1:7" ht="14.25" customHeight="1">
      <c r="A13" s="26"/>
      <c r="B13" s="26" t="s">
        <v>216</v>
      </c>
      <c r="C13" s="26" t="s">
        <v>217</v>
      </c>
      <c r="D13" s="27" t="s">
        <v>218</v>
      </c>
      <c r="E13" s="26" t="s">
        <v>219</v>
      </c>
      <c r="F13" s="26" t="s">
        <v>220</v>
      </c>
      <c r="G13" s="26" t="s">
        <v>221</v>
      </c>
    </row>
    <row r="14" spans="1:7" ht="14.25" customHeight="1">
      <c r="A14" s="26"/>
      <c r="B14" s="26" t="s">
        <v>222</v>
      </c>
      <c r="C14" s="26" t="s">
        <v>223</v>
      </c>
      <c r="D14" s="27" t="s">
        <v>224</v>
      </c>
      <c r="E14" s="26" t="s">
        <v>225</v>
      </c>
      <c r="F14" s="26" t="s">
        <v>169</v>
      </c>
      <c r="G14" s="26" t="s">
        <v>226</v>
      </c>
    </row>
    <row r="15" spans="1:7" ht="14.25" customHeight="1">
      <c r="A15" s="26"/>
      <c r="B15" s="26" t="s">
        <v>227</v>
      </c>
      <c r="C15" s="26" t="s">
        <v>228</v>
      </c>
      <c r="D15" s="27" t="s">
        <v>229</v>
      </c>
      <c r="E15" s="26" t="s">
        <v>230</v>
      </c>
      <c r="F15" s="26" t="s">
        <v>155</v>
      </c>
      <c r="G15" s="26" t="s">
        <v>231</v>
      </c>
    </row>
    <row r="16" spans="1:7" ht="14.25" customHeight="1">
      <c r="A16" s="26"/>
      <c r="B16" s="26" t="s">
        <v>232</v>
      </c>
      <c r="C16" s="26" t="s">
        <v>233</v>
      </c>
      <c r="D16" s="27" t="s">
        <v>234</v>
      </c>
      <c r="E16" s="26" t="s">
        <v>235</v>
      </c>
      <c r="F16" s="26" t="s">
        <v>162</v>
      </c>
      <c r="G16" s="26" t="s">
        <v>236</v>
      </c>
    </row>
    <row r="17" spans="1:7" ht="14.25" customHeight="1">
      <c r="A17" s="26"/>
      <c r="B17" s="26" t="s">
        <v>237</v>
      </c>
      <c r="C17" s="26" t="s">
        <v>238</v>
      </c>
      <c r="D17" s="27" t="s">
        <v>239</v>
      </c>
      <c r="E17" s="26" t="s">
        <v>240</v>
      </c>
      <c r="F17" s="26" t="s">
        <v>208</v>
      </c>
      <c r="G17" s="26" t="s">
        <v>241</v>
      </c>
    </row>
    <row r="18" spans="1:7" ht="14.25" customHeight="1">
      <c r="A18" s="26"/>
      <c r="B18" s="26" t="s">
        <v>242</v>
      </c>
      <c r="C18" s="26" t="s">
        <v>243</v>
      </c>
      <c r="D18" s="27" t="s">
        <v>244</v>
      </c>
      <c r="E18" s="26" t="s">
        <v>245</v>
      </c>
      <c r="F18" s="26" t="s">
        <v>246</v>
      </c>
      <c r="G18" s="26" t="s">
        <v>247</v>
      </c>
    </row>
    <row r="19" spans="1:7" ht="14.25" customHeight="1">
      <c r="A19" s="26"/>
      <c r="B19" s="26" t="s">
        <v>248</v>
      </c>
      <c r="C19" s="26" t="s">
        <v>249</v>
      </c>
      <c r="D19" s="27" t="s">
        <v>250</v>
      </c>
      <c r="E19" s="26" t="s">
        <v>251</v>
      </c>
      <c r="F19" s="26" t="s">
        <v>251</v>
      </c>
      <c r="G19" s="26" t="s">
        <v>252</v>
      </c>
    </row>
    <row r="20" spans="1:7" ht="14.25" customHeight="1">
      <c r="A20" s="26"/>
      <c r="B20" s="26" t="s">
        <v>253</v>
      </c>
      <c r="C20" s="26" t="s">
        <v>254</v>
      </c>
      <c r="D20" s="27" t="s">
        <v>255</v>
      </c>
      <c r="E20" s="26" t="s">
        <v>256</v>
      </c>
      <c r="F20" s="26" t="s">
        <v>162</v>
      </c>
      <c r="G20" s="26" t="s">
        <v>257</v>
      </c>
    </row>
    <row r="21" spans="1:7" ht="14.25" customHeight="1">
      <c r="A21" s="26"/>
      <c r="B21" s="26" t="s">
        <v>258</v>
      </c>
      <c r="C21" s="26" t="s">
        <v>259</v>
      </c>
      <c r="D21" s="27" t="s">
        <v>260</v>
      </c>
      <c r="E21" s="26" t="s">
        <v>261</v>
      </c>
      <c r="F21" s="26" t="s">
        <v>262</v>
      </c>
      <c r="G21" s="26" t="s">
        <v>263</v>
      </c>
    </row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14" type="noConversion"/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(2)</vt:lpstr>
      <vt:lpstr>Notes - Text Functions</vt:lpstr>
      <vt:lpstr>Examples - Text Functions</vt:lpstr>
      <vt:lpstr>Tasks - Text Functions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Liba Mariyam K</cp:lastModifiedBy>
  <dcterms:created xsi:type="dcterms:W3CDTF">2026-06-30T11:37:59Z</dcterms:created>
  <dcterms:modified xsi:type="dcterms:W3CDTF">2026-07-02T05:55:41Z</dcterms:modified>
</cp:coreProperties>
</file>